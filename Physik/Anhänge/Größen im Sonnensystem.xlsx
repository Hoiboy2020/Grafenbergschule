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enry/Schule/Schule/Physik/Anhänge/"/>
    </mc:Choice>
  </mc:AlternateContent>
  <xr:revisionPtr revIDLastSave="0" documentId="13_ncr:1_{58A7E7E4-5416-204F-8148-59B54B999D6B}" xr6:coauthVersionLast="47" xr6:coauthVersionMax="47" xr10:uidLastSave="{00000000-0000-0000-0000-000000000000}"/>
  <bookViews>
    <workbookView xWindow="0" yWindow="620" windowWidth="28800" windowHeight="16440" xr2:uid="{00000000-000D-0000-FFFF-FFFF00000000}"/>
  </bookViews>
  <sheets>
    <sheet name="Modellabständ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E7" i="1"/>
  <c r="E8" i="1"/>
  <c r="E9" i="1"/>
  <c r="E10" i="1"/>
  <c r="E11" i="1"/>
  <c r="E12" i="1"/>
  <c r="E5" i="1"/>
  <c r="C20" i="1"/>
  <c r="C19" i="1"/>
  <c r="D19" i="1"/>
  <c r="C27" i="1"/>
  <c r="D27" i="1" s="1"/>
  <c r="C12" i="1"/>
  <c r="D12" i="1" s="1"/>
  <c r="C26" i="1"/>
  <c r="D26" i="1" s="1"/>
  <c r="C11" i="1"/>
  <c r="D11" i="1" s="1"/>
  <c r="C25" i="1"/>
  <c r="D25" i="1" s="1"/>
  <c r="C10" i="1"/>
  <c r="D10" i="1" s="1"/>
  <c r="C24" i="1"/>
  <c r="D24" i="1" s="1"/>
  <c r="C9" i="1"/>
  <c r="D9" i="1" s="1"/>
  <c r="C23" i="1"/>
  <c r="D23" i="1" s="1"/>
  <c r="C8" i="1"/>
  <c r="D8" i="1" s="1"/>
  <c r="C22" i="1"/>
  <c r="D22" i="1" s="1"/>
  <c r="C7" i="1"/>
  <c r="D7" i="1" s="1"/>
  <c r="C21" i="1"/>
  <c r="D21" i="1" s="1"/>
  <c r="C6" i="1"/>
  <c r="D6" i="1" s="1"/>
  <c r="D20" i="1"/>
  <c r="C5" i="1"/>
  <c r="D5" i="1" s="1"/>
  <c r="C4" i="1"/>
  <c r="D4" i="1" s="1"/>
</calcChain>
</file>

<file path=xl/sharedStrings.xml><?xml version="1.0" encoding="utf-8"?>
<sst xmlns="http://schemas.openxmlformats.org/spreadsheetml/2006/main" count="28" uniqueCount="18">
  <si>
    <t>Objekt</t>
  </si>
  <si>
    <t>Sonne</t>
  </si>
  <si>
    <t>Merkur</t>
  </si>
  <si>
    <t>Venus</t>
  </si>
  <si>
    <t>Erde</t>
  </si>
  <si>
    <t>Mars</t>
  </si>
  <si>
    <t>Jupiter</t>
  </si>
  <si>
    <t>Saturn</t>
  </si>
  <si>
    <t>Uranus</t>
  </si>
  <si>
    <t>Neptun</t>
  </si>
  <si>
    <t>Abstand von Sonne (km)</t>
  </si>
  <si>
    <t>Durchmesser (km)</t>
  </si>
  <si>
    <t>Modellabstand (cm)</t>
  </si>
  <si>
    <t>Modellabstand (m)</t>
  </si>
  <si>
    <t>Modelldurchmesser (cm)</t>
  </si>
  <si>
    <t>Modelldurchmesser (mm)</t>
  </si>
  <si>
    <t>Maßstab (1:x)</t>
  </si>
  <si>
    <t>Abstand zum Planet in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</si>
</sst>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zoomScale="125" workbookViewId="0">
      <selection activeCell="H7" sqref="H7"/>
    </sheetView>
  </sheetViews>
  <sheetFormatPr baseColWidth="10" defaultColWidth="8.83203125" defaultRowHeight="15" x14ac:dyDescent="0.2"/>
  <cols>
    <col min="1" max="1" width="20.6640625" customWidth="1"/>
    <col min="2" max="2" width="24.6640625" customWidth="1"/>
    <col min="3" max="3" width="20.5" customWidth="1"/>
    <col min="4" max="4" width="20.6640625" customWidth="1"/>
    <col min="5" max="5" width="27" customWidth="1"/>
    <col min="6" max="7" width="24.6640625" customWidth="1"/>
  </cols>
  <sheetData>
    <row r="1" spans="1:5" x14ac:dyDescent="0.2">
      <c r="A1" t="s">
        <v>16</v>
      </c>
      <c r="B1" s="1">
        <v>10000000000</v>
      </c>
    </row>
    <row r="3" spans="1:5" x14ac:dyDescent="0.2">
      <c r="A3" t="s">
        <v>0</v>
      </c>
      <c r="B3" t="s">
        <v>10</v>
      </c>
      <c r="C3" t="s">
        <v>12</v>
      </c>
      <c r="D3" t="s">
        <v>13</v>
      </c>
      <c r="E3" t="s">
        <v>17</v>
      </c>
    </row>
    <row r="4" spans="1:5" x14ac:dyDescent="0.2">
      <c r="A4" t="s">
        <v>1</v>
      </c>
      <c r="B4" s="1">
        <v>0</v>
      </c>
      <c r="C4">
        <f>B4*100000/$B$1</f>
        <v>0</v>
      </c>
      <c r="D4">
        <f t="shared" ref="D4:D12" si="0">C4/100</f>
        <v>0</v>
      </c>
      <c r="E4">
        <v>0</v>
      </c>
    </row>
    <row r="5" spans="1:5" x14ac:dyDescent="0.2">
      <c r="A5" t="s">
        <v>2</v>
      </c>
      <c r="B5" s="1">
        <v>58000000</v>
      </c>
      <c r="C5">
        <f>B5*100000/$B$1</f>
        <v>580</v>
      </c>
      <c r="D5">
        <f t="shared" si="0"/>
        <v>5.8</v>
      </c>
      <c r="E5">
        <f>D5-D4</f>
        <v>5.8</v>
      </c>
    </row>
    <row r="6" spans="1:5" x14ac:dyDescent="0.2">
      <c r="A6" t="s">
        <v>3</v>
      </c>
      <c r="B6" s="1">
        <v>108000000</v>
      </c>
      <c r="C6">
        <f>B6*100000/$B$1</f>
        <v>1080</v>
      </c>
      <c r="D6">
        <f t="shared" si="0"/>
        <v>10.8</v>
      </c>
      <c r="E6">
        <f t="shared" ref="E6:E12" si="1">D6-D5</f>
        <v>5.0000000000000009</v>
      </c>
    </row>
    <row r="7" spans="1:5" x14ac:dyDescent="0.2">
      <c r="A7" t="s">
        <v>4</v>
      </c>
      <c r="B7" s="1">
        <v>150000000</v>
      </c>
      <c r="C7">
        <f>B7*100000/$B$1</f>
        <v>1500</v>
      </c>
      <c r="D7">
        <f t="shared" si="0"/>
        <v>15</v>
      </c>
      <c r="E7">
        <f t="shared" si="1"/>
        <v>4.1999999999999993</v>
      </c>
    </row>
    <row r="8" spans="1:5" x14ac:dyDescent="0.2">
      <c r="A8" t="s">
        <v>5</v>
      </c>
      <c r="B8" s="1">
        <v>228000000</v>
      </c>
      <c r="C8">
        <f>B8*100000/$B$1</f>
        <v>2280</v>
      </c>
      <c r="D8">
        <f t="shared" si="0"/>
        <v>22.8</v>
      </c>
      <c r="E8">
        <f t="shared" si="1"/>
        <v>7.8000000000000007</v>
      </c>
    </row>
    <row r="9" spans="1:5" x14ac:dyDescent="0.2">
      <c r="A9" t="s">
        <v>6</v>
      </c>
      <c r="B9" s="1">
        <v>778000000</v>
      </c>
      <c r="C9">
        <f>B9*100000/$B$1</f>
        <v>7780</v>
      </c>
      <c r="D9">
        <f t="shared" si="0"/>
        <v>77.8</v>
      </c>
      <c r="E9">
        <f t="shared" si="1"/>
        <v>55</v>
      </c>
    </row>
    <row r="10" spans="1:5" x14ac:dyDescent="0.2">
      <c r="A10" t="s">
        <v>7</v>
      </c>
      <c r="B10" s="1">
        <v>1427000000</v>
      </c>
      <c r="C10">
        <f>B10*100000/$B$1</f>
        <v>14270</v>
      </c>
      <c r="D10">
        <f t="shared" si="0"/>
        <v>142.69999999999999</v>
      </c>
      <c r="E10">
        <f t="shared" si="1"/>
        <v>64.899999999999991</v>
      </c>
    </row>
    <row r="11" spans="1:5" x14ac:dyDescent="0.2">
      <c r="A11" t="s">
        <v>8</v>
      </c>
      <c r="B11" s="1">
        <v>2868000000</v>
      </c>
      <c r="C11">
        <f>B11*100000/$B$1</f>
        <v>28680</v>
      </c>
      <c r="D11">
        <f t="shared" si="0"/>
        <v>286.8</v>
      </c>
      <c r="E11">
        <f t="shared" si="1"/>
        <v>144.10000000000002</v>
      </c>
    </row>
    <row r="12" spans="1:5" x14ac:dyDescent="0.2">
      <c r="A12" t="s">
        <v>9</v>
      </c>
      <c r="B12" s="1">
        <v>4509000000</v>
      </c>
      <c r="C12">
        <f>B12*100000/$B$1</f>
        <v>45090</v>
      </c>
      <c r="D12">
        <f t="shared" si="0"/>
        <v>450.9</v>
      </c>
      <c r="E12">
        <f t="shared" si="1"/>
        <v>164.09999999999997</v>
      </c>
    </row>
    <row r="18" spans="1:4" x14ac:dyDescent="0.2">
      <c r="A18" t="s">
        <v>0</v>
      </c>
      <c r="B18" t="s">
        <v>11</v>
      </c>
      <c r="C18" t="s">
        <v>14</v>
      </c>
      <c r="D18" t="s">
        <v>15</v>
      </c>
    </row>
    <row r="19" spans="1:4" x14ac:dyDescent="0.2">
      <c r="A19" t="s">
        <v>1</v>
      </c>
      <c r="B19" s="1">
        <v>1392700</v>
      </c>
      <c r="C19">
        <f>B19*100000/$B$1</f>
        <v>13.927</v>
      </c>
      <c r="D19">
        <f>C19*10</f>
        <v>139.26999999999998</v>
      </c>
    </row>
    <row r="20" spans="1:4" x14ac:dyDescent="0.2">
      <c r="A20" t="s">
        <v>2</v>
      </c>
      <c r="B20" s="1">
        <v>4879</v>
      </c>
      <c r="C20">
        <f>B20*100000/$B$1</f>
        <v>4.879E-2</v>
      </c>
      <c r="D20">
        <f t="shared" ref="D19:D27" si="2">C20*10</f>
        <v>0.4879</v>
      </c>
    </row>
    <row r="21" spans="1:4" x14ac:dyDescent="0.2">
      <c r="A21" t="s">
        <v>3</v>
      </c>
      <c r="B21" s="1">
        <v>12104</v>
      </c>
      <c r="C21">
        <f>B21*100000/$B$1</f>
        <v>0.12103999999999999</v>
      </c>
      <c r="D21">
        <f t="shared" si="2"/>
        <v>1.2103999999999999</v>
      </c>
    </row>
    <row r="22" spans="1:4" x14ac:dyDescent="0.2">
      <c r="A22" t="s">
        <v>4</v>
      </c>
      <c r="B22" s="1">
        <v>12742</v>
      </c>
      <c r="C22">
        <f>B22*100000/$B$1</f>
        <v>0.12742000000000001</v>
      </c>
      <c r="D22">
        <f t="shared" si="2"/>
        <v>1.2742</v>
      </c>
    </row>
    <row r="23" spans="1:4" x14ac:dyDescent="0.2">
      <c r="A23" t="s">
        <v>5</v>
      </c>
      <c r="B23" s="1">
        <v>6779</v>
      </c>
      <c r="C23">
        <f>B23*100000/$B$1</f>
        <v>6.7790000000000003E-2</v>
      </c>
      <c r="D23">
        <f t="shared" si="2"/>
        <v>0.67790000000000006</v>
      </c>
    </row>
    <row r="24" spans="1:4" x14ac:dyDescent="0.2">
      <c r="A24" t="s">
        <v>6</v>
      </c>
      <c r="B24" s="1">
        <v>139820</v>
      </c>
      <c r="C24">
        <f>B24*100000/$B$1</f>
        <v>1.3982000000000001</v>
      </c>
      <c r="D24">
        <f t="shared" si="2"/>
        <v>13.982000000000001</v>
      </c>
    </row>
    <row r="25" spans="1:4" x14ac:dyDescent="0.2">
      <c r="A25" t="s">
        <v>7</v>
      </c>
      <c r="B25" s="1">
        <v>116460</v>
      </c>
      <c r="C25">
        <f>B25*100000/$B$1</f>
        <v>1.1646000000000001</v>
      </c>
      <c r="D25">
        <f t="shared" si="2"/>
        <v>11.646000000000001</v>
      </c>
    </row>
    <row r="26" spans="1:4" x14ac:dyDescent="0.2">
      <c r="A26" t="s">
        <v>8</v>
      </c>
      <c r="B26" s="1">
        <v>50724</v>
      </c>
      <c r="C26">
        <f>B26*100000/$B$1</f>
        <v>0.50724000000000002</v>
      </c>
      <c r="D26">
        <f t="shared" si="2"/>
        <v>5.0724</v>
      </c>
    </row>
    <row r="27" spans="1:4" x14ac:dyDescent="0.2">
      <c r="A27" t="s">
        <v>9</v>
      </c>
      <c r="B27" s="1">
        <v>49244</v>
      </c>
      <c r="C27">
        <f>B27*100000/$B$1</f>
        <v>0.49243999999999999</v>
      </c>
      <c r="D27">
        <f t="shared" si="2"/>
        <v>4.9244000000000003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Modellabstände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Höfer, Henry (TGI-J1 2025)</cp:lastModifiedBy>
  <dcterms:created xsi:type="dcterms:W3CDTF">2025-11-07T08:56:43Z</dcterms:created>
  <dcterms:modified xsi:type="dcterms:W3CDTF">2025-11-07T10:10:38Z</dcterms:modified>
</cp:coreProperties>
</file>