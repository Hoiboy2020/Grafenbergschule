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/Schule/Schule/Physik/Anhänge/"/>
    </mc:Choice>
  </mc:AlternateContent>
  <xr:revisionPtr revIDLastSave="0" documentId="13_ncr:1_{68DB0977-3644-9E40-B684-CF8B70F176DB}" xr6:coauthVersionLast="47" xr6:coauthVersionMax="47" xr10:uidLastSave="{00000000-0000-0000-0000-000000000000}"/>
  <bookViews>
    <workbookView xWindow="0" yWindow="620" windowWidth="28800" windowHeight="16520" activeTab="1" xr2:uid="{D4BBED1E-9125-F247-80A3-8AE943BC1221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F9" i="2"/>
  <c r="G9" i="2"/>
  <c r="H9" i="2"/>
  <c r="I9" i="2"/>
  <c r="J9" i="2"/>
  <c r="K9" i="2"/>
  <c r="L9" i="2"/>
  <c r="I10" i="1"/>
  <c r="J10" i="1"/>
  <c r="K10" i="1"/>
  <c r="L10" i="1"/>
  <c r="M10" i="1"/>
  <c r="N10" i="1"/>
  <c r="O10" i="1"/>
  <c r="E10" i="1"/>
  <c r="D10" i="1"/>
  <c r="P10" i="1"/>
  <c r="Q10" i="1"/>
  <c r="R10" i="1"/>
  <c r="F10" i="1"/>
  <c r="G10" i="1"/>
  <c r="H10" i="1"/>
</calcChain>
</file>

<file path=xl/sharedStrings.xml><?xml version="1.0" encoding="utf-8"?>
<sst xmlns="http://schemas.openxmlformats.org/spreadsheetml/2006/main" count="13" uniqueCount="9">
  <si>
    <t>r in cm</t>
  </si>
  <si>
    <t>F in mN</t>
  </si>
  <si>
    <t>Abhängigkeit der elektrischen Kraft vom Kugelabstand r</t>
  </si>
  <si>
    <t>Durchschnitt</t>
  </si>
  <si>
    <t>hier Influenz problematisch</t>
  </si>
  <si>
    <t>hier Messungenauigkeit problematisch</t>
  </si>
  <si>
    <t>Abhängigkeit der elektrischen Kraft von der Ladung Q im Abstand r = 12</t>
  </si>
  <si>
    <t>U in kV</t>
  </si>
  <si>
    <t>Q in 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</si>
</sst>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Tabelle1!$A$10:$C$10</c:f>
              <c:strCache>
                <c:ptCount val="3"/>
                <c:pt idx="1">
                  <c:v>Durchschnitt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8.0328214886137186E-2"/>
                  <c:y val="-0.376194809698276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Tabelle1!$D$4:$S$4</c:f>
              <c:numCache>
                <c:formatCode>General</c:formatCode>
                <c:ptCount val="16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</c:numCache>
            </c:numRef>
          </c:xVal>
          <c:yVal>
            <c:numRef>
              <c:f>Tabelle1!$D$10:$S$10</c:f>
              <c:numCache>
                <c:formatCode>General</c:formatCode>
                <c:ptCount val="16"/>
                <c:pt idx="0">
                  <c:v>0.04</c:v>
                </c:pt>
                <c:pt idx="1">
                  <c:v>9.9999999999999985E-3</c:v>
                </c:pt>
                <c:pt idx="2">
                  <c:v>0.08</c:v>
                </c:pt>
                <c:pt idx="3">
                  <c:v>0.105</c:v>
                </c:pt>
                <c:pt idx="4">
                  <c:v>0.16500000000000001</c:v>
                </c:pt>
                <c:pt idx="5">
                  <c:v>0.17499999999999999</c:v>
                </c:pt>
                <c:pt idx="6">
                  <c:v>0.25</c:v>
                </c:pt>
                <c:pt idx="7">
                  <c:v>0.35</c:v>
                </c:pt>
                <c:pt idx="8">
                  <c:v>0.41000000000000003</c:v>
                </c:pt>
                <c:pt idx="9">
                  <c:v>0.5</c:v>
                </c:pt>
                <c:pt idx="10">
                  <c:v>0.68500000000000005</c:v>
                </c:pt>
                <c:pt idx="11">
                  <c:v>0.85000000000000009</c:v>
                </c:pt>
                <c:pt idx="12">
                  <c:v>1.1299999999999999</c:v>
                </c:pt>
                <c:pt idx="13">
                  <c:v>1.325</c:v>
                </c:pt>
                <c:pt idx="14">
                  <c:v>1.5750000000000002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6-8F4F-899E-7B3FB95B4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758784"/>
        <c:axId val="733760576"/>
      </c:scatterChart>
      <c:valAx>
        <c:axId val="73375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3760576"/>
        <c:crosses val="autoZero"/>
        <c:crossBetween val="midCat"/>
      </c:valAx>
      <c:valAx>
        <c:axId val="73376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375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41911115919921121"/>
                  <c:y val="-0.100944863645255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Tabelle1!$H$4:$P$4</c:f>
              <c:numCache>
                <c:formatCode>General</c:formatCode>
                <c:ptCount val="9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</c:numCache>
            </c:numRef>
          </c:xVal>
          <c:yVal>
            <c:numRef>
              <c:f>Tabelle1!$H$10:$P$10</c:f>
              <c:numCache>
                <c:formatCode>General</c:formatCode>
                <c:ptCount val="9"/>
                <c:pt idx="0">
                  <c:v>0.16500000000000001</c:v>
                </c:pt>
                <c:pt idx="1">
                  <c:v>0.17499999999999999</c:v>
                </c:pt>
                <c:pt idx="2">
                  <c:v>0.25</c:v>
                </c:pt>
                <c:pt idx="3">
                  <c:v>0.35</c:v>
                </c:pt>
                <c:pt idx="4">
                  <c:v>0.41000000000000003</c:v>
                </c:pt>
                <c:pt idx="5">
                  <c:v>0.5</c:v>
                </c:pt>
                <c:pt idx="6">
                  <c:v>0.68500000000000005</c:v>
                </c:pt>
                <c:pt idx="7">
                  <c:v>0.85000000000000009</c:v>
                </c:pt>
                <c:pt idx="8">
                  <c:v>1.1299999999999999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77-CF44-BA6F-BABACD226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69119"/>
        <c:axId val="171277183"/>
      </c:scatterChart>
      <c:valAx>
        <c:axId val="17126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277183"/>
        <c:crosses val="autoZero"/>
        <c:crossBetween val="midCat"/>
      </c:valAx>
      <c:valAx>
        <c:axId val="17127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26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Tabelle2!$C$10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Tabelle2!$D$9:$L$9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14</c:v>
                </c:pt>
                <c:pt idx="4">
                  <c:v>15</c:v>
                </c:pt>
                <c:pt idx="5">
                  <c:v>22.5</c:v>
                </c:pt>
                <c:pt idx="6">
                  <c:v>27</c:v>
                </c:pt>
                <c:pt idx="7">
                  <c:v>31</c:v>
                </c:pt>
                <c:pt idx="8">
                  <c:v>38.5</c:v>
                </c:pt>
              </c:numCache>
            </c:numRef>
          </c:xVal>
          <c:yVal>
            <c:numRef>
              <c:f>Tabelle2!$D$10:$L$10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4A-5144-A590-6C826E1B6A5B}"/>
            </c:ext>
          </c:extLst>
        </c:ser>
        <c:ser>
          <c:idx val="1"/>
          <c:order val="1"/>
          <c:tx>
            <c:strRef>
              <c:f>Tabelle2!$C$11</c:f>
              <c:strCache>
                <c:ptCount val="1"/>
                <c:pt idx="0">
                  <c:v>F in mN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Tabelle2!$D$9:$L$9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14</c:v>
                </c:pt>
                <c:pt idx="4">
                  <c:v>15</c:v>
                </c:pt>
                <c:pt idx="5">
                  <c:v>22.5</c:v>
                </c:pt>
                <c:pt idx="6">
                  <c:v>27</c:v>
                </c:pt>
                <c:pt idx="7">
                  <c:v>31</c:v>
                </c:pt>
                <c:pt idx="8">
                  <c:v>38.5</c:v>
                </c:pt>
              </c:numCache>
            </c:numRef>
          </c:xVal>
          <c:yVal>
            <c:numRef>
              <c:f>Tabelle2!$D$11:$L$11</c:f>
              <c:numCache>
                <c:formatCode>General</c:formatCode>
                <c:ptCount val="9"/>
                <c:pt idx="0">
                  <c:v>0</c:v>
                </c:pt>
                <c:pt idx="1">
                  <c:v>0.02</c:v>
                </c:pt>
                <c:pt idx="2">
                  <c:v>0.1</c:v>
                </c:pt>
                <c:pt idx="3">
                  <c:v>0.1</c:v>
                </c:pt>
                <c:pt idx="4">
                  <c:v>0.14000000000000001</c:v>
                </c:pt>
                <c:pt idx="5">
                  <c:v>0.23</c:v>
                </c:pt>
                <c:pt idx="6">
                  <c:v>0.3</c:v>
                </c:pt>
                <c:pt idx="7">
                  <c:v>0.52</c:v>
                </c:pt>
                <c:pt idx="8">
                  <c:v>0.64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4A-5144-A590-6C826E1B6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248000"/>
        <c:axId val="1905260992"/>
      </c:scatterChart>
      <c:valAx>
        <c:axId val="190524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05260992"/>
        <c:crosses val="autoZero"/>
        <c:crossBetween val="midCat"/>
      </c:valAx>
      <c:valAx>
        <c:axId val="190526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0524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829542</xdr:colOff>
      <xdr:row>11</xdr:row>
      <xdr:rowOff>13277</xdr:rowOff>
    </xdr:from>
    <xdr:to>
      <xdr:col>8</xdr:col>
      <xdr:colOff>442769</xdr:colOff>
      <xdr:row>24</xdr:row>
      <xdr:rowOff>114877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9851F3D-56F6-B78D-2598-D2564823E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467602</xdr:colOff>
      <xdr:row>11</xdr:row>
      <xdr:rowOff>11593</xdr:rowOff>
    </xdr:from>
    <xdr:to>
      <xdr:col>16</xdr:col>
      <xdr:colOff>99163</xdr:colOff>
      <xdr:row>24</xdr:row>
      <xdr:rowOff>33364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505D2597-3275-F7AF-8F7B-A2B7D5DA1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673100</xdr:colOff>
      <xdr:row>13</xdr:row>
      <xdr:rowOff>146050</xdr:rowOff>
    </xdr:from>
    <xdr:to>
      <xdr:col>11</xdr:col>
      <xdr:colOff>292100</xdr:colOff>
      <xdr:row>27</xdr:row>
      <xdr:rowOff>44450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52647C8-C7EB-0854-CA53-8003AB494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10B2-5F89-B041-B2A5-5DAAD88AFF16}">
  <dimension ref="A1:R10"/>
  <sheetViews>
    <sheetView workbookViewId="0">
      <selection activeCell="G31" sqref="G31"/>
    </sheetView>
  </sheetViews>
  <sheetFormatPr baseColWidth="10" defaultRowHeight="16" x14ac:dyDescent="0.2"/>
  <cols>
    <col min="1" max="1" width="21.6640625" customWidth="1"/>
    <col min="2" max="2" width="11.6640625" customWidth="1"/>
  </cols>
  <sheetData>
    <row r="1" spans="1:18" x14ac:dyDescent="0.2">
      <c r="A1" t="s">
        <v>2</v>
      </c>
    </row>
    <row r="3" spans="1:18" x14ac:dyDescent="0.2">
      <c r="D3" s="2" t="s">
        <v>5</v>
      </c>
      <c r="E3" s="2"/>
      <c r="F3" s="2"/>
      <c r="G3" s="2"/>
      <c r="H3" s="2"/>
      <c r="O3" s="2" t="s">
        <v>4</v>
      </c>
      <c r="P3" s="2"/>
      <c r="Q3" s="2"/>
      <c r="R3" s="2"/>
    </row>
    <row r="4" spans="1:18" x14ac:dyDescent="0.2">
      <c r="B4" t="s">
        <v>0</v>
      </c>
      <c r="C4" s="1"/>
      <c r="D4">
        <v>20</v>
      </c>
      <c r="E4">
        <v>19</v>
      </c>
      <c r="F4">
        <v>18</v>
      </c>
      <c r="G4">
        <v>17</v>
      </c>
      <c r="H4">
        <v>16</v>
      </c>
      <c r="I4">
        <v>15</v>
      </c>
      <c r="J4">
        <v>14</v>
      </c>
      <c r="K4">
        <v>13</v>
      </c>
      <c r="L4">
        <v>12</v>
      </c>
      <c r="M4">
        <v>11</v>
      </c>
      <c r="N4">
        <v>10</v>
      </c>
      <c r="O4">
        <v>9</v>
      </c>
      <c r="P4">
        <v>8</v>
      </c>
      <c r="Q4">
        <v>7</v>
      </c>
      <c r="R4">
        <v>6</v>
      </c>
    </row>
    <row r="6" spans="1:18" x14ac:dyDescent="0.2">
      <c r="B6" t="s">
        <v>1</v>
      </c>
      <c r="D6">
        <v>0.04</v>
      </c>
      <c r="E6">
        <v>0.06</v>
      </c>
      <c r="F6">
        <v>0.15</v>
      </c>
      <c r="G6">
        <v>0.15</v>
      </c>
      <c r="H6">
        <v>0.2</v>
      </c>
      <c r="I6">
        <v>0.25</v>
      </c>
      <c r="J6">
        <v>0.3</v>
      </c>
      <c r="K6">
        <v>0.4</v>
      </c>
      <c r="L6">
        <v>0.45</v>
      </c>
      <c r="M6">
        <v>0.5</v>
      </c>
      <c r="N6">
        <v>0.77</v>
      </c>
      <c r="O6">
        <v>0.9</v>
      </c>
      <c r="P6">
        <v>1.1100000000000001</v>
      </c>
      <c r="Q6">
        <v>1.25</v>
      </c>
      <c r="R6">
        <v>1.55</v>
      </c>
    </row>
    <row r="8" spans="1:18" x14ac:dyDescent="0.2">
      <c r="B8" t="s">
        <v>1</v>
      </c>
      <c r="E8">
        <v>-0.04</v>
      </c>
      <c r="F8">
        <v>0.01</v>
      </c>
      <c r="G8">
        <v>0.06</v>
      </c>
      <c r="H8">
        <v>0.13</v>
      </c>
      <c r="I8">
        <v>0.1</v>
      </c>
      <c r="J8">
        <v>0.2</v>
      </c>
      <c r="K8">
        <v>0.3</v>
      </c>
      <c r="L8">
        <v>0.37</v>
      </c>
      <c r="M8">
        <v>0.5</v>
      </c>
      <c r="N8">
        <v>0.6</v>
      </c>
      <c r="O8">
        <v>0.8</v>
      </c>
      <c r="P8">
        <v>1.1499999999999999</v>
      </c>
      <c r="Q8">
        <v>1.4</v>
      </c>
      <c r="R8">
        <v>1.6</v>
      </c>
    </row>
    <row r="10" spans="1:18" x14ac:dyDescent="0.2">
      <c r="B10" t="s">
        <v>3</v>
      </c>
      <c r="D10">
        <f>D$6</f>
        <v>0.04</v>
      </c>
      <c r="E10">
        <f t="shared" ref="E10:R10" si="0">(E$6+E$8)/2</f>
        <v>9.9999999999999985E-3</v>
      </c>
      <c r="F10">
        <f t="shared" si="0"/>
        <v>0.08</v>
      </c>
      <c r="G10">
        <f t="shared" si="0"/>
        <v>0.105</v>
      </c>
      <c r="H10">
        <f t="shared" ref="H10:O10" si="1">(H$6+H$8)/2</f>
        <v>0.16500000000000001</v>
      </c>
      <c r="I10">
        <f t="shared" si="1"/>
        <v>0.17499999999999999</v>
      </c>
      <c r="J10">
        <f t="shared" si="1"/>
        <v>0.25</v>
      </c>
      <c r="K10">
        <f t="shared" si="1"/>
        <v>0.35</v>
      </c>
      <c r="L10">
        <f t="shared" si="1"/>
        <v>0.41000000000000003</v>
      </c>
      <c r="M10">
        <f t="shared" si="1"/>
        <v>0.5</v>
      </c>
      <c r="N10">
        <f t="shared" si="1"/>
        <v>0.68500000000000005</v>
      </c>
      <c r="O10">
        <f t="shared" si="1"/>
        <v>0.85000000000000009</v>
      </c>
      <c r="P10">
        <f t="shared" si="0"/>
        <v>1.1299999999999999</v>
      </c>
      <c r="Q10">
        <f t="shared" si="0"/>
        <v>1.325</v>
      </c>
      <c r="R10">
        <f t="shared" si="0"/>
        <v>1.5750000000000002</v>
      </c>
    </row>
  </sheetData>
  <mergeCells count="2">
    <mergeCell ref="O3:R3"/>
    <mergeCell ref="D3:H3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D1CF-30AB-904B-AA8F-C8065D3FBDA2}">
  <dimension ref="A1:L11"/>
  <sheetViews>
    <sheetView tabSelected="1" topLeftCell="A5" zoomScale="142" workbookViewId="0">
      <selection activeCell="C17" sqref="C17"/>
    </sheetView>
  </sheetViews>
  <sheetFormatPr baseColWidth="10" defaultRowHeight="16" x14ac:dyDescent="0.2"/>
  <cols>
    <col min="4" max="4" width="11.6640625" bestFit="1" customWidth="1"/>
  </cols>
  <sheetData>
    <row r="1" spans="1:12" x14ac:dyDescent="0.2">
      <c r="A1" t="s">
        <v>6</v>
      </c>
    </row>
    <row r="3" spans="1:12" x14ac:dyDescent="0.2">
      <c r="C3" t="s">
        <v>7</v>
      </c>
      <c r="D3">
        <v>0</v>
      </c>
      <c r="E3">
        <v>3</v>
      </c>
      <c r="F3">
        <v>6</v>
      </c>
      <c r="G3">
        <v>9</v>
      </c>
      <c r="H3">
        <v>12</v>
      </c>
      <c r="I3">
        <v>15</v>
      </c>
      <c r="J3">
        <v>18</v>
      </c>
      <c r="K3">
        <v>21</v>
      </c>
      <c r="L3">
        <v>24</v>
      </c>
    </row>
    <row r="5" spans="1:12" x14ac:dyDescent="0.2">
      <c r="C5" t="s">
        <v>8</v>
      </c>
      <c r="D5">
        <v>0</v>
      </c>
      <c r="E5">
        <v>2</v>
      </c>
      <c r="F5">
        <v>7</v>
      </c>
      <c r="G5">
        <v>15</v>
      </c>
      <c r="H5">
        <v>16</v>
      </c>
      <c r="I5">
        <v>25</v>
      </c>
      <c r="J5">
        <v>24</v>
      </c>
      <c r="K5">
        <v>32</v>
      </c>
      <c r="L5">
        <v>41</v>
      </c>
    </row>
    <row r="7" spans="1:12" x14ac:dyDescent="0.2">
      <c r="C7" t="s">
        <v>8</v>
      </c>
      <c r="D7">
        <v>0</v>
      </c>
      <c r="E7">
        <v>2</v>
      </c>
      <c r="F7">
        <v>5</v>
      </c>
      <c r="G7">
        <v>13</v>
      </c>
      <c r="H7">
        <v>14</v>
      </c>
      <c r="I7">
        <v>20</v>
      </c>
      <c r="J7">
        <v>30</v>
      </c>
      <c r="K7">
        <v>30</v>
      </c>
      <c r="L7">
        <v>36</v>
      </c>
    </row>
    <row r="9" spans="1:12" x14ac:dyDescent="0.2">
      <c r="C9" t="s">
        <v>8</v>
      </c>
      <c r="D9">
        <v>0</v>
      </c>
      <c r="E9">
        <f t="shared" ref="E9:L9" si="0">(E$5+E$7)/2</f>
        <v>2</v>
      </c>
      <c r="F9">
        <f t="shared" si="0"/>
        <v>6</v>
      </c>
      <c r="G9">
        <f t="shared" si="0"/>
        <v>14</v>
      </c>
      <c r="H9">
        <f t="shared" si="0"/>
        <v>15</v>
      </c>
      <c r="I9">
        <f t="shared" si="0"/>
        <v>22.5</v>
      </c>
      <c r="J9">
        <f t="shared" si="0"/>
        <v>27</v>
      </c>
      <c r="K9">
        <f t="shared" si="0"/>
        <v>31</v>
      </c>
      <c r="L9">
        <f t="shared" si="0"/>
        <v>38.5</v>
      </c>
    </row>
    <row r="11" spans="1:12" x14ac:dyDescent="0.2">
      <c r="C11" t="s">
        <v>1</v>
      </c>
      <c r="D11">
        <v>0</v>
      </c>
      <c r="E11">
        <v>0.02</v>
      </c>
      <c r="F11">
        <v>0.1</v>
      </c>
      <c r="G11">
        <v>0.1</v>
      </c>
      <c r="H11">
        <v>0.14000000000000001</v>
      </c>
      <c r="I11">
        <v>0.23</v>
      </c>
      <c r="J11">
        <v>0.3</v>
      </c>
      <c r="K11">
        <v>0.52</v>
      </c>
      <c r="L11">
        <v>0.64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Höfer, Henry (TGI-J1 2025)</dc:creator>
  <cp:lastModifiedBy>Höfer, Henry (TGI-J1 2025)</cp:lastModifiedBy>
  <dcterms:created xsi:type="dcterms:W3CDTF">2025-12-08T13:03:27Z</dcterms:created>
  <dcterms:modified xsi:type="dcterms:W3CDTF">2026-01-07T10:26:54Z</dcterms:modified>
</cp:coreProperties>
</file>